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Operating Costs" sheetId="3" state="visible" r:id="rId5"/>
    <sheet name="Unit Economics" sheetId="4" state="visible" r:id="rId6"/>
    <sheet name="Scenari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<sst xmlns="http://schemas.openxmlformats.org/spreadsheetml/2006/main" count="142" uniqueCount="119">
  <si>
    <t xml:space="preserve">YardSync — NET Profit: Current Product vs. Recommended Additions</t>
  </si>
  <si>
    <t xml:space="preserve">Annual NET profit (business cash, before your salary). After all operating costs incl. Claude $200/mo. Driven by the editable Assumptions + Operating Costs tabs.</t>
  </si>
  <si>
    <t xml:space="preserve">Scale</t>
  </si>
  <si>
    <t xml:space="preserve">CURRENT product</t>
  </si>
  <si>
    <t xml:space="preserve">ENHANCED product</t>
  </si>
  <si>
    <t xml:space="preserve">Difference (+)</t>
  </si>
  <si>
    <t xml:space="preserve">Conservative</t>
  </si>
  <si>
    <t xml:space="preserve">Base</t>
  </si>
  <si>
    <t xml:space="preserve">Optimistic</t>
  </si>
  <si>
    <t xml:space="preserve">Figures = recurring annual NET after operating costs. Add one-time Pro Setup income (Scenarios tab) for total Year-1.</t>
  </si>
  <si>
    <t xml:space="preserve">THE 3 NUMBERS THAT MATTER</t>
  </si>
  <si>
    <t xml:space="preserve">1. Your real take rate</t>
  </si>
  <si>
    <t xml:space="preserve">Direct-charge model: contractor pays Stripe AND your 5.5% separately, so you net the FULL 5.5% of GMV. On $10,000 of invoices that's $550/mo to you.</t>
  </si>
  <si>
    <t xml:space="preserve">2. Where the money is</t>
  </si>
  <si>
    <t xml:space="preserve">Mid + Large contractors are ~80%+ of the profit. The current product still loses most of them to fee-flight + missing deposits/quotes/recurring/crew. Winning them is the whole upside.</t>
  </si>
  <si>
    <t xml:space="preserve">3. Biggest risk + cheapest fix</t>
  </si>
  <si>
    <t xml:space="preserve">Contractor all-in is ~8.4% and now visible -&gt; high-ticket fee-flight. Cheapest fixes: a 'pass fee to client' toggle, a per-invoice cap, or a low-fee ACH tier. Keep big-job GMV in-platform.</t>
  </si>
  <si>
    <t xml:space="preserve">ALREADY SHIPPED (don't re-build)</t>
  </si>
  <si>
    <t xml:space="preserve">SMS reminders + AI bilingual drafting · Smart Business Card / QR + social assets · Stripe direct-charge invoicing (5.5%) · contractor-branded receipts · reschedule flows · CSV export (data ownership) · per-client pricing · volume rewards · Terms consent · free-rider gate</t>
  </si>
  <si>
    <t xml:space="preserve">WHAT 'ENHANCED' ADDS (Round-2 build order)</t>
  </si>
  <si>
    <t xml:space="preserve">P0  Fee strategy: pass-to-client toggle + cap / ACH tier</t>
  </si>
  <si>
    <t xml:space="preserve">Cheapest, highest-leverage. Stops high-ticket fee-flight, keeps your full 5.5%.</t>
  </si>
  <si>
    <t xml:space="preserve">F14 Quotes/estimates + e-sign + DEPOSITS</t>
  </si>
  <si>
    <t xml:space="preserve">Top ask (11 of 13). Stops ghosting, gates high-ticket verticals, deposits = captured GMV.</t>
  </si>
  <si>
    <t xml:space="preserve">F20 Recurring auto-billing / contracts</t>
  </si>
  <si>
    <t xml:space="preserve">Unlocks pool, HVAC, cleaning, pest, recurring lawn (Jenny, Charlie, Rosa, Dave).</t>
  </si>
  <si>
    <t xml:space="preserve">F9  Crew tier (per-seat) — publish a ship date</t>
  </si>
  <si>
    <t xml:space="preserve">Only feature that adds a NEW price point; retains growing operators (Diego).</t>
  </si>
  <si>
    <t xml:space="preserve">F5  Apple/Google Pay + Stripe Terminal</t>
  </si>
  <si>
    <t xml:space="preserve">Faster pay + in-person capture (Marcus, Sasha, Marco).</t>
  </si>
  <si>
    <t xml:space="preserve">P0  Stripe Connect onboarding explainer (EN/ES)</t>
  </si>
  <si>
    <t xml:space="preserve">Lifts signup-to-first-invoice conversion across the cheap core.</t>
  </si>
  <si>
    <t xml:space="preserve">ASSUMPTIONS  —  edit the BLUE cells to run your own numbers</t>
  </si>
  <si>
    <t xml:space="preserve">Direct-charge model: contractor is merchant of record, pays Stripe separately, so YardSync nets the FULL 5.5%. Fixed costs are itemized on the Operating Costs tab.</t>
  </si>
  <si>
    <t xml:space="preserve">YardSync fee (% of each invoice) — net to you</t>
  </si>
  <si>
    <t xml:space="preserve">Stripe processing % (paid by CONTRACTOR, info)</t>
  </si>
  <si>
    <t xml:space="preserve">Stripe per-transaction $ (paid by CONTRACTOR, info)</t>
  </si>
  <si>
    <t xml:space="preserve">Crew tier price / seat / month (Enhanced only)</t>
  </si>
  <si>
    <t xml:space="preserve">Pro Setup price (one-time)</t>
  </si>
  <si>
    <t xml:space="preserve">Pro Setup labor cost (one-time)</t>
  </si>
  <si>
    <t xml:space="preserve">Pro Setup attach rate (% of new signups)</t>
  </si>
  <si>
    <t xml:space="preserve">Does YardSync absorb the Stripe fee? (1=yes, 0=no)</t>
  </si>
  <si>
    <t xml:space="preserve">SEGMENT MODEL  ('Other var' = per-contractor infra; build-up on Operating Costs tab)</t>
  </si>
  <si>
    <t xml:space="preserve">Segment</t>
  </si>
  <si>
    <t xml:space="preserve">GMV / mo</t>
  </si>
  <si>
    <t xml:space="preserve">Invoices / mo</t>
  </si>
  <si>
    <t xml:space="preserve">Sub $/mo (after rewards)</t>
  </si>
  <si>
    <t xml:space="preserve">Support $/mo</t>
  </si>
  <si>
    <t xml:space="preserve">Other var $/mo</t>
  </si>
  <si>
    <t xml:space="preserve">Crew seats (Enhanced)</t>
  </si>
  <si>
    <t xml:space="preserve">Capture % CURRENT</t>
  </si>
  <si>
    <t xml:space="preserve">Capture % ENHANCED</t>
  </si>
  <si>
    <t xml:space="preserve">Micro  (Linda / brand-new)</t>
  </si>
  <si>
    <t xml:space="preserve">Small  (Marco, Joaquin, Tyrell-low)</t>
  </si>
  <si>
    <t xml:space="preserve">Mid  (Rosa, Jenny, Diego)</t>
  </si>
  <si>
    <t xml:space="preserve">Large  (Dave, Brittany, Sasha, Charlie)</t>
  </si>
  <si>
    <t xml:space="preserve">Capture % = share of the contractor's real GMV that flows through YardSync (rest = fee-flight = $0 to you). CURRENT low for Mid/Large; ENHANCED assumes fee strategy + recurring billing + quotes/deposits + crew keep them in.</t>
  </si>
  <si>
    <t xml:space="preserve">Contractor's ALL-IN card cost is ~8.4% (your 5.5% + Stripe ~2.9%), now visible to them — the #1 reason high-ticket operators flight to check/ACH.</t>
  </si>
  <si>
    <t xml:space="preserve">OPERATING COSTS  —  what it costs to run YardSync</t>
  </si>
  <si>
    <t xml:space="preserve">Section A = fixed monthly platform cost (feeds every scenario). Section B = per-contractor usage that justifies the 'Other var' column in Assumptions.</t>
  </si>
  <si>
    <t xml:space="preserve">SECTION A — FIXED MONTHLY PLATFORM COST (does NOT scale with # contractors)</t>
  </si>
  <si>
    <t xml:space="preserve">Item</t>
  </si>
  <si>
    <t xml:space="preserve">$ / month</t>
  </si>
  <si>
    <t xml:space="preserve">Note</t>
  </si>
  <si>
    <t xml:space="preserve">Anthropic / Claude subscription</t>
  </si>
  <si>
    <t xml:space="preserve">Claude Max — dev + AI features</t>
  </si>
  <si>
    <t xml:space="preserve">Vercel Pro (hosting)</t>
  </si>
  <si>
    <t xml:space="preserve">production tier</t>
  </si>
  <si>
    <t xml:space="preserve">SendGrid (email)</t>
  </si>
  <si>
    <t xml:space="preserve">Essentials tier</t>
  </si>
  <si>
    <t xml:space="preserve">Twilio base (A2P campaign + phone #)</t>
  </si>
  <si>
    <t xml:space="preserve">campaign + number rental, before per-SMS</t>
  </si>
  <si>
    <t xml:space="preserve">Firebase Blaze (base / buffer)</t>
  </si>
  <si>
    <t xml:space="preserve">Firestore + Storage baseline at small scale</t>
  </si>
  <si>
    <t xml:space="preserve">Domain (amortized)</t>
  </si>
  <si>
    <t xml:space="preserve">~$18/yr</t>
  </si>
  <si>
    <t xml:space="preserve">TOTAL FIXED / month</t>
  </si>
  <si>
    <t xml:space="preserve">used as Fixed cost/mo in every scenario</t>
  </si>
  <si>
    <t xml:space="preserve">SECTION B — PER-CONTRACTOR USAGE / month (scales with contractors; already in 'Other var')</t>
  </si>
  <si>
    <t xml:space="preserve">Cost per SMS (Twilio incl. carrier fee):</t>
  </si>
  <si>
    <t xml:space="preserve">SMS / mo</t>
  </si>
  <si>
    <t xml:space="preserve">Twilio SMS $</t>
  </si>
  <si>
    <t xml:space="preserve">Firebase $</t>
  </si>
  <si>
    <t xml:space="preserve">AI drafting $</t>
  </si>
  <si>
    <t xml:space="preserve">Stripe on own sub $</t>
  </si>
  <si>
    <t xml:space="preserve">≈ Total / mo</t>
  </si>
  <si>
    <t xml:space="preserve">Micro</t>
  </si>
  <si>
    <t xml:space="preserve">Small</t>
  </si>
  <si>
    <t xml:space="preserve">Mid</t>
  </si>
  <si>
    <t xml:space="preserve">Large</t>
  </si>
  <si>
    <t xml:space="preserve">≈ Total column lines up with the 'Other var $/mo' you can edit in Assumptions (2.5 / 3 / 4 / 5). Twilio/Firebase scale with contractors via this column; the fixed base above stays flat.</t>
  </si>
  <si>
    <t xml:space="preserve">UNIT ECONOMICS  —  net profit per contractor per month</t>
  </si>
  <si>
    <t xml:space="preserve">YardSync nets the full 5.5% of captured GMV. 'Stripe to platform' is $0 unless you flip the absorb toggle in Assumptions.</t>
  </si>
  <si>
    <t xml:space="preserve">CURRENT PRODUCT (live today)</t>
  </si>
  <si>
    <t xml:space="preserve">Captured GMV/mo</t>
  </si>
  <si>
    <t xml:space="preserve">Captured inv/mo</t>
  </si>
  <si>
    <t xml:space="preserve">YardSync 5.5% fee</t>
  </si>
  <si>
    <t xml:space="preserve">Stripe to platform</t>
  </si>
  <si>
    <t xml:space="preserve">NET fee</t>
  </si>
  <si>
    <t xml:space="preserve">Sub rev</t>
  </si>
  <si>
    <t xml:space="preserve">Crew rev</t>
  </si>
  <si>
    <t xml:space="preserve">Costs</t>
  </si>
  <si>
    <t xml:space="preserve">NET / contractor / mo</t>
  </si>
  <si>
    <t xml:space="preserve">ENHANCED PRODUCT (+ deposits/quotes, recurring billing, crew, fee strategy)</t>
  </si>
  <si>
    <t xml:space="preserve">SCENARIOS  —  portfolio of active contractors  →  NET profit / year</t>
  </si>
  <si>
    <t xml:space="preserve">Blue = contractor counts you can change. Fixed cost/mo pulls from the Operating Costs tab (incl. Claude $200).</t>
  </si>
  <si>
    <t xml:space="preserve">Product</t>
  </si>
  <si>
    <t xml:space="preserve">Micro #</t>
  </si>
  <si>
    <t xml:space="preserve">Small #</t>
  </si>
  <si>
    <t xml:space="preserve">Mid #</t>
  </si>
  <si>
    <t xml:space="preserve">Large #</t>
  </si>
  <si>
    <t xml:space="preserve">Contractor net/mo</t>
  </si>
  <si>
    <t xml:space="preserve">Fixed cost/mo</t>
  </si>
  <si>
    <t xml:space="preserve">NET / mo</t>
  </si>
  <si>
    <t xml:space="preserve">NET / yr (recurring)</t>
  </si>
  <si>
    <t xml:space="preserve">Pro Setup (yr)</t>
  </si>
  <si>
    <t xml:space="preserve">TOTAL Year-1 NET</t>
  </si>
  <si>
    <t xml:space="preserve">Current</t>
  </si>
  <si>
    <t xml:space="preserve">Enhanced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</si>
</sst>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"/>
    <numFmt numFmtId="167" formatCode="\$#,##0.00;&quot;($&quot;#,##0.00\);\-"/>
    <numFmt numFmtId="168" formatCode="0"/>
    <numFmt numFmtId="169" formatCode="#,##0"/>
    <numFmt numFmtId="170" formatCode="#,##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F81BD"/>
      </patternFill>
    </fill>
    <fill>
      <patternFill patternType="solid">
        <fgColor rgb="FFEEEEEE"/>
        <bgColor rgb="FFE2EFDA"/>
      </patternFill>
    </fill>
    <fill>
      <patternFill patternType="solid">
        <fgColor rgb="FFE2EFDA"/>
        <bgColor rgb="FFEEEEEE"/>
      </patternFill>
    </fill>
    <fill>
      <patternFill patternType="solid">
        <fgColor rgb="FFFFF2CC"/>
        <bgColor rgb="FFEEEEEE"/>
      </patternFill>
    </fill>
    <fill>
      <patternFill patternType="solid">
        <fgColor rgb="FF2F523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C0504D"/>
      <rgbColor rgb="FFFFF2CC"/>
      <rgbColor rgb="FFEEEE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Annual NET Profit — Current vs Enhanced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Summary!B4</c:f>
              <c:strCache>
                <c:ptCount val="1"/>
                <c:pt idx="0">
                  <c:v>CURRENT product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Summary!$A$5:$A$7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Optimistic</c:v>
                </c:pt>
              </c:strCache>
            </c:strRef>
          </c:cat>
          <c:val>
            <c:numRef>
              <c:f>Summary!$B$5:$B$7</c:f>
              <c:numCache>
                <c:formatCode>\$#,##0;"($"#,##0\);\-</c:formatCode>
                <c:ptCount val="3"/>
                <c:pt idx="0">
                  <c:v>29778</c:v>
                </c:pt>
                <c:pt idx="1">
                  <c:v>61483.5</c:v>
                </c:pt>
                <c:pt idx="2">
                  <c:v>109726.5</c:v>
                </c:pt>
              </c:numCache>
            </c:numRef>
          </c:val>
        </c:ser>
        <c:ser>
          <c:idx val="1"/>
          <c:order val="1"/>
          <c:tx>
            <c:strRef>
              <c:f>Summary!C4</c:f>
              <c:strCache>
                <c:ptCount val="1"/>
                <c:pt idx="0">
                  <c:v>ENHANCED product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Summary!$A$5:$A$7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Optimistic</c:v>
                </c:pt>
              </c:strCache>
            </c:strRef>
          </c:cat>
          <c:val>
            <c:numRef>
              <c:f>Summary!$C$5:$C$7</c:f>
              <c:numCache>
                <c:formatCode>\$#,##0;"($"#,##0\);\-</c:formatCode>
                <c:ptCount val="3"/>
                <c:pt idx="0">
                  <c:v>114765</c:v>
                </c:pt>
                <c:pt idx="1">
                  <c:v>269391</c:v>
                </c:pt>
                <c:pt idx="2">
                  <c:v>500298</c:v>
                </c:pt>
              </c:numCache>
            </c:numRef>
          </c:val>
        </c:ser>
        <c:gapWidth val="150"/>
        <c:overlap val="0"/>
        <c:axId val="45148563"/>
        <c:axId val="37635779"/>
      </c:barChart>
      <c:catAx>
        <c:axId val="451485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Adoption scale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635779"/>
        <c:crosses val="autoZero"/>
        <c:auto val="1"/>
        <c:lblAlgn val="ctr"/>
        <c:lblOffset val="100"/>
        <c:noMultiLvlLbl val="0"/>
      </c:catAx>
      <c:valAx>
        <c:axId val="376357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NET $/yr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1485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0</xdr:rowOff>
    </xdr:from>
    <xdr:to>
      <xdr:col>4</xdr:col>
      <xdr:colOff>465480</xdr:colOff>
      <xdr:row>42</xdr:row>
      <xdr:rowOff>21960</xdr:rowOff>
    </xdr:to>
    <xdr:graphicFrame>
      <xdr:nvGraphicFramePr>
        <xdr:cNvPr id="1" name="Chart 1"/>
        <xdr:cNvGraphicFramePr/>
      </xdr:nvGraphicFramePr>
      <xdr:xfrm>
        <a:off x="0" y="6572160"/>
        <a:ext cx="539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4" min="2" style="1" width="1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6" t="n">
        <f aca="false">Scenarios!J5</f>
        <v>29778</v>
      </c>
      <c r="C5" s="7" t="n">
        <f aca="false">Scenarios!J8</f>
        <v>114765</v>
      </c>
      <c r="D5" s="8" t="n">
        <f aca="false">C5-B5</f>
        <v>84987</v>
      </c>
    </row>
    <row r="6" customFormat="false" ht="15" hidden="false" customHeight="true" outlineLevel="0" collapsed="false">
      <c r="A6" s="5" t="s">
        <v>7</v>
      </c>
      <c r="B6" s="6" t="n">
        <f aca="false">Scenarios!J6</f>
        <v>61483.5</v>
      </c>
      <c r="C6" s="7" t="n">
        <f aca="false">Scenarios!J9</f>
        <v>269391</v>
      </c>
      <c r="D6" s="8" t="n">
        <f aca="false">C6-B6</f>
        <v>207907.5</v>
      </c>
    </row>
    <row r="7" customFormat="false" ht="15" hidden="false" customHeight="true" outlineLevel="0" collapsed="false">
      <c r="A7" s="5" t="s">
        <v>8</v>
      </c>
      <c r="B7" s="6" t="n">
        <f aca="false">Scenarios!J7</f>
        <v>109726.5</v>
      </c>
      <c r="C7" s="7" t="n">
        <f aca="false">Scenarios!J10</f>
        <v>500298</v>
      </c>
      <c r="D7" s="8" t="n">
        <f aca="false">C7-B7</f>
        <v>390571.5</v>
      </c>
    </row>
    <row r="8" customFormat="false" ht="15" hidden="false" customHeight="true" outlineLevel="0" collapsed="false">
      <c r="A8" s="3" t="s">
        <v>9</v>
      </c>
    </row>
    <row r="11" customFormat="false" ht="15" hidden="false" customHeight="true" outlineLevel="0" collapsed="false">
      <c r="A11" s="9" t="s">
        <v>10</v>
      </c>
    </row>
    <row r="12" customFormat="false" ht="43.5" hidden="false" customHeight="true" outlineLevel="0" collapsed="false">
      <c r="A12" s="10" t="s">
        <v>11</v>
      </c>
      <c r="B12" s="11" t="s">
        <v>12</v>
      </c>
      <c r="C12" s="11"/>
      <c r="D12" s="11"/>
      <c r="E12" s="11"/>
      <c r="F12" s="11"/>
      <c r="G12" s="11"/>
      <c r="H12" s="11"/>
    </row>
    <row r="13" customFormat="false" ht="43.5" hidden="false" customHeight="true" outlineLevel="0" collapsed="false">
      <c r="A13" s="10" t="s">
        <v>13</v>
      </c>
      <c r="B13" s="11" t="s">
        <v>14</v>
      </c>
      <c r="C13" s="11"/>
      <c r="D13" s="11"/>
      <c r="E13" s="11"/>
      <c r="F13" s="11"/>
      <c r="G13" s="11"/>
      <c r="H13" s="11"/>
    </row>
    <row r="14" customFormat="false" ht="43.5" hidden="false" customHeight="true" outlineLevel="0" collapsed="false">
      <c r="A14" s="10" t="s">
        <v>15</v>
      </c>
      <c r="B14" s="11" t="s">
        <v>16</v>
      </c>
      <c r="C14" s="11"/>
      <c r="D14" s="11"/>
      <c r="E14" s="11"/>
      <c r="F14" s="11"/>
      <c r="G14" s="11"/>
      <c r="H14" s="11"/>
    </row>
    <row r="16" customFormat="false" ht="15" hidden="false" customHeight="true" outlineLevel="0" collapsed="false">
      <c r="A16" s="9" t="s">
        <v>17</v>
      </c>
    </row>
    <row r="17" customFormat="false" ht="39.75" hidden="false" customHeight="true" outlineLevel="0" collapsed="false">
      <c r="A17" s="12" t="s">
        <v>18</v>
      </c>
      <c r="B17" s="12"/>
      <c r="C17" s="12"/>
      <c r="D17" s="12"/>
      <c r="E17" s="12"/>
      <c r="F17" s="12"/>
      <c r="G17" s="12"/>
      <c r="H17" s="12"/>
    </row>
    <row r="19" customFormat="false" ht="15" hidden="false" customHeight="true" outlineLevel="0" collapsed="false">
      <c r="A19" s="9" t="s">
        <v>19</v>
      </c>
    </row>
    <row r="20" customFormat="false" ht="15" hidden="false" customHeight="true" outlineLevel="0" collapsed="false">
      <c r="A20" s="10" t="s">
        <v>20</v>
      </c>
      <c r="B20" s="11" t="s">
        <v>21</v>
      </c>
      <c r="C20" s="11"/>
      <c r="D20" s="11"/>
      <c r="E20" s="11"/>
      <c r="F20" s="11"/>
      <c r="G20" s="11"/>
      <c r="H20" s="11"/>
    </row>
    <row r="21" customFormat="false" ht="15" hidden="false" customHeight="true" outlineLevel="0" collapsed="false">
      <c r="A21" s="10" t="s">
        <v>22</v>
      </c>
      <c r="B21" s="11" t="s">
        <v>23</v>
      </c>
      <c r="C21" s="11"/>
      <c r="D21" s="11"/>
      <c r="E21" s="11"/>
      <c r="F21" s="11"/>
      <c r="G21" s="11"/>
      <c r="H21" s="11"/>
    </row>
    <row r="22" customFormat="false" ht="15" hidden="false" customHeight="true" outlineLevel="0" collapsed="false">
      <c r="A22" s="10" t="s">
        <v>24</v>
      </c>
      <c r="B22" s="11" t="s">
        <v>25</v>
      </c>
      <c r="C22" s="11"/>
      <c r="D22" s="11"/>
      <c r="E22" s="11"/>
      <c r="F22" s="11"/>
      <c r="G22" s="11"/>
      <c r="H22" s="11"/>
    </row>
    <row r="23" customFormat="false" ht="15" hidden="false" customHeight="true" outlineLevel="0" collapsed="false">
      <c r="A23" s="10" t="s">
        <v>26</v>
      </c>
      <c r="B23" s="11" t="s">
        <v>27</v>
      </c>
      <c r="C23" s="11"/>
      <c r="D23" s="11"/>
      <c r="E23" s="11"/>
      <c r="F23" s="11"/>
      <c r="G23" s="11"/>
      <c r="H23" s="11"/>
    </row>
    <row r="24" customFormat="false" ht="15" hidden="false" customHeight="true" outlineLevel="0" collapsed="false">
      <c r="A24" s="10" t="s">
        <v>28</v>
      </c>
      <c r="B24" s="11" t="s">
        <v>29</v>
      </c>
      <c r="C24" s="11"/>
      <c r="D24" s="11"/>
      <c r="E24" s="11"/>
      <c r="F24" s="11"/>
      <c r="G24" s="11"/>
      <c r="H24" s="11"/>
    </row>
    <row r="25" customFormat="false" ht="15" hidden="false" customHeight="true" outlineLevel="0" collapsed="false">
      <c r="A25" s="10" t="s">
        <v>30</v>
      </c>
      <c r="B25" s="11" t="s">
        <v>31</v>
      </c>
      <c r="C25" s="11"/>
      <c r="D25" s="11"/>
      <c r="E25" s="11"/>
      <c r="F25" s="11"/>
      <c r="G25" s="11"/>
      <c r="H25" s="11"/>
    </row>
  </sheetData>
  <mergeCells count="10">
    <mergeCell ref="B12:H12"/>
    <mergeCell ref="B13:H13"/>
    <mergeCell ref="B14:H14"/>
    <mergeCell ref="A17:H17"/>
    <mergeCell ref="B20:H20"/>
    <mergeCell ref="B21:H21"/>
    <mergeCell ref="B22:H22"/>
    <mergeCell ref="B23:H23"/>
    <mergeCell ref="B24:H24"/>
    <mergeCell ref="B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9" min="2" style="1" width="15"/>
  </cols>
  <sheetData>
    <row r="1" customFormat="false" ht="17.25" hidden="false" customHeight="true" outlineLevel="0" collapsed="false">
      <c r="A1" s="2" t="s">
        <v>32</v>
      </c>
    </row>
    <row r="2" customFormat="false" ht="15" hidden="false" customHeight="true" outlineLevel="0" collapsed="false">
      <c r="A2" s="3" t="s">
        <v>33</v>
      </c>
    </row>
    <row r="4" customFormat="false" ht="15" hidden="false" customHeight="true" outlineLevel="0" collapsed="false">
      <c r="A4" s="13" t="s">
        <v>34</v>
      </c>
      <c r="B4" s="14" t="n">
        <v>0.055</v>
      </c>
    </row>
    <row r="5" customFormat="false" ht="15" hidden="false" customHeight="true" outlineLevel="0" collapsed="false">
      <c r="A5" s="13" t="s">
        <v>35</v>
      </c>
      <c r="B5" s="14" t="n">
        <v>0.029</v>
      </c>
    </row>
    <row r="6" customFormat="false" ht="15" hidden="false" customHeight="true" outlineLevel="0" collapsed="false">
      <c r="A6" s="13" t="s">
        <v>36</v>
      </c>
      <c r="B6" s="15" t="n">
        <v>0.3</v>
      </c>
    </row>
    <row r="7" customFormat="false" ht="15" hidden="false" customHeight="true" outlineLevel="0" collapsed="false">
      <c r="A7" s="13" t="s">
        <v>37</v>
      </c>
      <c r="B7" s="16" t="n">
        <v>15</v>
      </c>
    </row>
    <row r="8" customFormat="false" ht="15" hidden="false" customHeight="true" outlineLevel="0" collapsed="false">
      <c r="A8" s="13" t="s">
        <v>38</v>
      </c>
      <c r="B8" s="16" t="n">
        <v>99</v>
      </c>
    </row>
    <row r="9" customFormat="false" ht="15" hidden="false" customHeight="true" outlineLevel="0" collapsed="false">
      <c r="A9" s="13" t="s">
        <v>39</v>
      </c>
      <c r="B9" s="16" t="n">
        <v>40</v>
      </c>
    </row>
    <row r="10" customFormat="false" ht="15" hidden="false" customHeight="true" outlineLevel="0" collapsed="false">
      <c r="A10" s="13" t="s">
        <v>40</v>
      </c>
      <c r="B10" s="14" t="n">
        <v>0.3</v>
      </c>
    </row>
    <row r="11" customFormat="false" ht="15" hidden="false" customHeight="true" outlineLevel="0" collapsed="false">
      <c r="A11" s="13" t="s">
        <v>41</v>
      </c>
      <c r="B11" s="17" t="n">
        <v>0</v>
      </c>
    </row>
    <row r="13" customFormat="false" ht="15" hidden="false" customHeight="true" outlineLevel="0" collapsed="false">
      <c r="A13" s="9" t="s">
        <v>42</v>
      </c>
    </row>
    <row r="14" customFormat="false" ht="23.25" hidden="false" customHeight="true" outlineLevel="0" collapsed="false">
      <c r="A14" s="4" t="s">
        <v>43</v>
      </c>
      <c r="B14" s="4" t="s">
        <v>44</v>
      </c>
      <c r="C14" s="4" t="s">
        <v>45</v>
      </c>
      <c r="D14" s="4" t="s">
        <v>46</v>
      </c>
      <c r="E14" s="4" t="s">
        <v>47</v>
      </c>
      <c r="F14" s="4" t="s">
        <v>48</v>
      </c>
      <c r="G14" s="4" t="s">
        <v>49</v>
      </c>
      <c r="H14" s="4" t="s">
        <v>50</v>
      </c>
      <c r="I14" s="4" t="s">
        <v>51</v>
      </c>
    </row>
    <row r="15" customFormat="false" ht="15" hidden="false" customHeight="true" outlineLevel="0" collapsed="false">
      <c r="A15" s="18" t="s">
        <v>52</v>
      </c>
      <c r="B15" s="19" t="n">
        <v>1000</v>
      </c>
      <c r="C15" s="20" t="n">
        <v>8</v>
      </c>
      <c r="D15" s="21" t="n">
        <v>39</v>
      </c>
      <c r="E15" s="21" t="n">
        <v>12</v>
      </c>
      <c r="F15" s="21" t="n">
        <v>2.5</v>
      </c>
      <c r="G15" s="20" t="n">
        <v>0</v>
      </c>
      <c r="H15" s="22" t="n">
        <v>0.9</v>
      </c>
      <c r="I15" s="22" t="n">
        <v>0.95</v>
      </c>
    </row>
    <row r="16" customFormat="false" ht="15" hidden="false" customHeight="true" outlineLevel="0" collapsed="false">
      <c r="A16" s="18" t="s">
        <v>53</v>
      </c>
      <c r="B16" s="19" t="n">
        <v>2500</v>
      </c>
      <c r="C16" s="20" t="n">
        <v>18</v>
      </c>
      <c r="D16" s="21" t="n">
        <v>19.5</v>
      </c>
      <c r="E16" s="21" t="n">
        <v>8</v>
      </c>
      <c r="F16" s="21" t="n">
        <v>3</v>
      </c>
      <c r="G16" s="20" t="n">
        <v>0</v>
      </c>
      <c r="H16" s="22" t="n">
        <v>0.85</v>
      </c>
      <c r="I16" s="22" t="n">
        <v>0.92</v>
      </c>
    </row>
    <row r="17" customFormat="false" ht="15" hidden="false" customHeight="true" outlineLevel="0" collapsed="false">
      <c r="A17" s="18" t="s">
        <v>54</v>
      </c>
      <c r="B17" s="19" t="n">
        <v>10000</v>
      </c>
      <c r="C17" s="20" t="n">
        <v>40</v>
      </c>
      <c r="D17" s="21" t="n">
        <v>0</v>
      </c>
      <c r="E17" s="21" t="n">
        <v>10</v>
      </c>
      <c r="F17" s="21" t="n">
        <v>4</v>
      </c>
      <c r="G17" s="20" t="n">
        <v>1</v>
      </c>
      <c r="H17" s="22" t="n">
        <v>0.6</v>
      </c>
      <c r="I17" s="22" t="n">
        <v>0.9</v>
      </c>
    </row>
    <row r="18" customFormat="false" ht="15" hidden="false" customHeight="true" outlineLevel="0" collapsed="false">
      <c r="A18" s="18" t="s">
        <v>55</v>
      </c>
      <c r="B18" s="19" t="n">
        <v>30000</v>
      </c>
      <c r="C18" s="20" t="n">
        <v>50</v>
      </c>
      <c r="D18" s="21" t="n">
        <v>0</v>
      </c>
      <c r="E18" s="21" t="n">
        <v>15</v>
      </c>
      <c r="F18" s="21" t="n">
        <v>5</v>
      </c>
      <c r="G18" s="20" t="n">
        <v>4</v>
      </c>
      <c r="H18" s="22" t="n">
        <v>0.25</v>
      </c>
      <c r="I18" s="22" t="n">
        <v>0.8</v>
      </c>
    </row>
    <row r="20" customFormat="false" ht="15" hidden="false" customHeight="true" outlineLevel="0" collapsed="false">
      <c r="A20" s="3" t="s">
        <v>56</v>
      </c>
    </row>
    <row r="21" customFormat="false" ht="15" hidden="false" customHeight="true" outlineLevel="0" collapsed="false">
      <c r="A21" s="3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7" min="2" style="1" width="15"/>
  </cols>
  <sheetData>
    <row r="1" customFormat="false" ht="17.25" hidden="false" customHeight="true" outlineLevel="0" collapsed="false">
      <c r="A1" s="2" t="s">
        <v>58</v>
      </c>
    </row>
    <row r="2" customFormat="false" ht="15" hidden="false" customHeight="true" outlineLevel="0" collapsed="false">
      <c r="A2" s="3" t="s">
        <v>59</v>
      </c>
    </row>
    <row r="3" customFormat="false" ht="15" hidden="false" customHeight="true" outlineLevel="0" collapsed="false">
      <c r="A3" s="9" t="s">
        <v>60</v>
      </c>
    </row>
    <row r="4" customFormat="false" ht="15" hidden="false" customHeight="true" outlineLevel="0" collapsed="false">
      <c r="A4" s="23" t="s">
        <v>61</v>
      </c>
      <c r="B4" s="23" t="s">
        <v>62</v>
      </c>
      <c r="C4" s="23" t="s">
        <v>63</v>
      </c>
    </row>
    <row r="5" customFormat="false" ht="15" hidden="false" customHeight="true" outlineLevel="0" collapsed="false">
      <c r="A5" s="18" t="s">
        <v>64</v>
      </c>
      <c r="B5" s="15" t="n">
        <v>200</v>
      </c>
      <c r="C5" s="24" t="s">
        <v>65</v>
      </c>
    </row>
    <row r="6" customFormat="false" ht="15" hidden="false" customHeight="true" outlineLevel="0" collapsed="false">
      <c r="A6" s="18" t="s">
        <v>66</v>
      </c>
      <c r="B6" s="15" t="n">
        <v>20</v>
      </c>
      <c r="C6" s="24" t="s">
        <v>67</v>
      </c>
    </row>
    <row r="7" customFormat="false" ht="15" hidden="false" customHeight="true" outlineLevel="0" collapsed="false">
      <c r="A7" s="18" t="s">
        <v>68</v>
      </c>
      <c r="B7" s="15" t="n">
        <v>20</v>
      </c>
      <c r="C7" s="24" t="s">
        <v>69</v>
      </c>
    </row>
    <row r="8" customFormat="false" ht="15" hidden="false" customHeight="true" outlineLevel="0" collapsed="false">
      <c r="A8" s="18" t="s">
        <v>70</v>
      </c>
      <c r="B8" s="15" t="n">
        <v>12</v>
      </c>
      <c r="C8" s="24" t="s">
        <v>71</v>
      </c>
    </row>
    <row r="9" customFormat="false" ht="15" hidden="false" customHeight="true" outlineLevel="0" collapsed="false">
      <c r="A9" s="18" t="s">
        <v>72</v>
      </c>
      <c r="B9" s="15" t="n">
        <v>10</v>
      </c>
      <c r="C9" s="24" t="s">
        <v>73</v>
      </c>
    </row>
    <row r="10" customFormat="false" ht="15" hidden="false" customHeight="true" outlineLevel="0" collapsed="false">
      <c r="A10" s="18" t="s">
        <v>74</v>
      </c>
      <c r="B10" s="15" t="n">
        <v>1.5</v>
      </c>
      <c r="C10" s="24" t="s">
        <v>75</v>
      </c>
    </row>
    <row r="11" customFormat="false" ht="15" hidden="false" customHeight="true" outlineLevel="0" collapsed="false">
      <c r="A11" s="25" t="s">
        <v>76</v>
      </c>
      <c r="B11" s="26" t="n">
        <f aca="false">SUM(B5:B10)</f>
        <v>263.5</v>
      </c>
      <c r="C11" s="24" t="s">
        <v>77</v>
      </c>
    </row>
    <row r="13" customFormat="false" ht="15" hidden="false" customHeight="true" outlineLevel="0" collapsed="false">
      <c r="A13" s="9" t="s">
        <v>78</v>
      </c>
    </row>
    <row r="14" customFormat="false" ht="15" hidden="false" customHeight="true" outlineLevel="0" collapsed="false">
      <c r="A14" s="13" t="s">
        <v>79</v>
      </c>
      <c r="B14" s="15" t="n">
        <v>0.012</v>
      </c>
    </row>
    <row r="15" customFormat="false" ht="23.25" hidden="false" customHeight="true" outlineLevel="0" collapsed="false">
      <c r="A15" s="23" t="s">
        <v>43</v>
      </c>
      <c r="B15" s="23" t="s">
        <v>80</v>
      </c>
      <c r="C15" s="23" t="s">
        <v>81</v>
      </c>
      <c r="D15" s="23" t="s">
        <v>82</v>
      </c>
      <c r="E15" s="23" t="s">
        <v>83</v>
      </c>
      <c r="F15" s="23" t="s">
        <v>84</v>
      </c>
      <c r="G15" s="23" t="s">
        <v>85</v>
      </c>
    </row>
    <row r="16" customFormat="false" ht="15" hidden="false" customHeight="true" outlineLevel="0" collapsed="false">
      <c r="A16" s="18" t="s">
        <v>86</v>
      </c>
      <c r="B16" s="27" t="n">
        <v>40</v>
      </c>
      <c r="C16" s="28" t="n">
        <f aca="false">B16*$B$14</f>
        <v>0.48</v>
      </c>
      <c r="D16" s="15" t="n">
        <v>0.3</v>
      </c>
      <c r="E16" s="15" t="n">
        <v>0.1</v>
      </c>
      <c r="F16" s="28" t="n">
        <f aca="false">39*Assumptions!$B$5+Assumptions!$B$6</f>
        <v>1.431</v>
      </c>
      <c r="G16" s="29" t="n">
        <f aca="false">C16+D16+E16+F16</f>
        <v>2.311</v>
      </c>
    </row>
    <row r="17" customFormat="false" ht="15" hidden="false" customHeight="true" outlineLevel="0" collapsed="false">
      <c r="A17" s="18" t="s">
        <v>87</v>
      </c>
      <c r="B17" s="27" t="n">
        <v>90</v>
      </c>
      <c r="C17" s="28" t="n">
        <f aca="false">B17*$B$14</f>
        <v>1.08</v>
      </c>
      <c r="D17" s="15" t="n">
        <v>0.4</v>
      </c>
      <c r="E17" s="15" t="n">
        <v>0.15</v>
      </c>
      <c r="F17" s="28" t="n">
        <f aca="false">19.5*Assumptions!$B$5+Assumptions!$B$6</f>
        <v>0.8655</v>
      </c>
      <c r="G17" s="29" t="n">
        <f aca="false">C17+D17+E17+F17</f>
        <v>2.4955</v>
      </c>
    </row>
    <row r="18" customFormat="false" ht="15" hidden="false" customHeight="true" outlineLevel="0" collapsed="false">
      <c r="A18" s="18" t="s">
        <v>88</v>
      </c>
      <c r="B18" s="27" t="n">
        <v>200</v>
      </c>
      <c r="C18" s="28" t="n">
        <f aca="false">B18*$B$14</f>
        <v>2.4</v>
      </c>
      <c r="D18" s="15" t="n">
        <v>0.6</v>
      </c>
      <c r="E18" s="15" t="n">
        <v>0.2</v>
      </c>
      <c r="F18" s="28" t="n">
        <f aca="false">0</f>
        <v>0</v>
      </c>
      <c r="G18" s="29" t="n">
        <f aca="false">C18+D18+E18+F18</f>
        <v>3.2</v>
      </c>
    </row>
    <row r="19" customFormat="false" ht="15" hidden="false" customHeight="true" outlineLevel="0" collapsed="false">
      <c r="A19" s="18" t="s">
        <v>89</v>
      </c>
      <c r="B19" s="27" t="n">
        <v>320</v>
      </c>
      <c r="C19" s="28" t="n">
        <f aca="false">B19*$B$14</f>
        <v>3.84</v>
      </c>
      <c r="D19" s="15" t="n">
        <v>0.8</v>
      </c>
      <c r="E19" s="15" t="n">
        <v>0.25</v>
      </c>
      <c r="F19" s="28" t="n">
        <f aca="false">0</f>
        <v>0</v>
      </c>
      <c r="G19" s="29" t="n">
        <f aca="false">C19+D19+E19+F19</f>
        <v>4.89</v>
      </c>
    </row>
    <row r="21" customFormat="false" ht="15" hidden="false" customHeight="true" outlineLevel="0" collapsed="false">
      <c r="A21" s="3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10" min="2" style="1" width="13"/>
  </cols>
  <sheetData>
    <row r="1" customFormat="false" ht="17.25" hidden="false" customHeight="true" outlineLevel="0" collapsed="false">
      <c r="A1" s="2" t="s">
        <v>91</v>
      </c>
    </row>
    <row r="2" customFormat="false" ht="15" hidden="false" customHeight="true" outlineLevel="0" collapsed="false">
      <c r="A2" s="3" t="s">
        <v>92</v>
      </c>
    </row>
    <row r="4" customFormat="false" ht="15" hidden="false" customHeight="true" outlineLevel="0" collapsed="false">
      <c r="A4" s="9" t="s">
        <v>93</v>
      </c>
    </row>
    <row r="5" customFormat="false" ht="34.5" hidden="false" customHeight="true" outlineLevel="0" collapsed="false">
      <c r="A5" s="23" t="s">
        <v>43</v>
      </c>
      <c r="B5" s="23" t="s">
        <v>94</v>
      </c>
      <c r="C5" s="23" t="s">
        <v>95</v>
      </c>
      <c r="D5" s="23" t="s">
        <v>96</v>
      </c>
      <c r="E5" s="23" t="s">
        <v>97</v>
      </c>
      <c r="F5" s="23" t="s">
        <v>98</v>
      </c>
      <c r="G5" s="23" t="s">
        <v>99</v>
      </c>
      <c r="H5" s="23" t="s">
        <v>100</v>
      </c>
      <c r="I5" s="23" t="s">
        <v>101</v>
      </c>
      <c r="J5" s="23" t="s">
        <v>102</v>
      </c>
    </row>
    <row r="6" customFormat="false" ht="15" hidden="false" customHeight="true" outlineLevel="0" collapsed="false">
      <c r="A6" s="30" t="str">
        <f aca="false">Assumptions!A15</f>
        <v>Micro  (Linda / brand-new)</v>
      </c>
      <c r="B6" s="31" t="n">
        <f aca="false">Assumptions!B15*Assumptions!H15</f>
        <v>900</v>
      </c>
      <c r="C6" s="32" t="n">
        <f aca="false">Assumptions!C15*Assumptions!H15</f>
        <v>7.2</v>
      </c>
      <c r="D6" s="31" t="n">
        <f aca="false">B6*Assumptions!$B$4</f>
        <v>49.5</v>
      </c>
      <c r="E6" s="31" t="n">
        <f aca="false">Assumptions!$B$11*(B6*Assumptions!$B$5+C6*Assumptions!$B$6)</f>
        <v>0</v>
      </c>
      <c r="F6" s="31" t="n">
        <f aca="false">D6-E6</f>
        <v>49.5</v>
      </c>
      <c r="G6" s="33" t="n">
        <f aca="false">Assumptions!D15</f>
        <v>39</v>
      </c>
      <c r="H6" s="31" t="n">
        <f aca="false">0</f>
        <v>0</v>
      </c>
      <c r="I6" s="31" t="n">
        <f aca="false">Assumptions!E15+Assumptions!F15</f>
        <v>14.5</v>
      </c>
      <c r="J6" s="26" t="n">
        <f aca="false">F6+G6+H6-I6</f>
        <v>74</v>
      </c>
    </row>
    <row r="7" customFormat="false" ht="15" hidden="false" customHeight="true" outlineLevel="0" collapsed="false">
      <c r="A7" s="30" t="str">
        <f aca="false">Assumptions!A16</f>
        <v>Small  (Marco, Joaquin, Tyrell-low)</v>
      </c>
      <c r="B7" s="31" t="n">
        <f aca="false">Assumptions!B16*Assumptions!H16</f>
        <v>2125</v>
      </c>
      <c r="C7" s="32" t="n">
        <f aca="false">Assumptions!C16*Assumptions!H16</f>
        <v>15.3</v>
      </c>
      <c r="D7" s="31" t="n">
        <f aca="false">B7*Assumptions!$B$4</f>
        <v>116.875</v>
      </c>
      <c r="E7" s="31" t="n">
        <f aca="false">Assumptions!$B$11*(B7*Assumptions!$B$5+C7*Assumptions!$B$6)</f>
        <v>0</v>
      </c>
      <c r="F7" s="31" t="n">
        <f aca="false">D7-E7</f>
        <v>116.875</v>
      </c>
      <c r="G7" s="33" t="n">
        <f aca="false">Assumptions!D16</f>
        <v>19.5</v>
      </c>
      <c r="H7" s="31" t="n">
        <f aca="false">0</f>
        <v>0</v>
      </c>
      <c r="I7" s="31" t="n">
        <f aca="false">Assumptions!E16+Assumptions!F16</f>
        <v>11</v>
      </c>
      <c r="J7" s="26" t="n">
        <f aca="false">F7+G7+H7-I7</f>
        <v>125.375</v>
      </c>
    </row>
    <row r="8" customFormat="false" ht="15" hidden="false" customHeight="true" outlineLevel="0" collapsed="false">
      <c r="A8" s="30" t="str">
        <f aca="false">Assumptions!A17</f>
        <v>Mid  (Rosa, Jenny, Diego)</v>
      </c>
      <c r="B8" s="31" t="n">
        <f aca="false">Assumptions!B17*Assumptions!H17</f>
        <v>6000</v>
      </c>
      <c r="C8" s="32" t="n">
        <f aca="false">Assumptions!C17*Assumptions!H17</f>
        <v>24</v>
      </c>
      <c r="D8" s="31" t="n">
        <f aca="false">B8*Assumptions!$B$4</f>
        <v>330</v>
      </c>
      <c r="E8" s="31" t="n">
        <f aca="false">Assumptions!$B$11*(B8*Assumptions!$B$5+C8*Assumptions!$B$6)</f>
        <v>0</v>
      </c>
      <c r="F8" s="31" t="n">
        <f aca="false">D8-E8</f>
        <v>330</v>
      </c>
      <c r="G8" s="33" t="n">
        <f aca="false">Assumptions!D17</f>
        <v>0</v>
      </c>
      <c r="H8" s="31" t="n">
        <f aca="false">0</f>
        <v>0</v>
      </c>
      <c r="I8" s="31" t="n">
        <f aca="false">Assumptions!E17+Assumptions!F17</f>
        <v>14</v>
      </c>
      <c r="J8" s="26" t="n">
        <f aca="false">F8+G8+H8-I8</f>
        <v>316</v>
      </c>
    </row>
    <row r="9" customFormat="false" ht="15" hidden="false" customHeight="true" outlineLevel="0" collapsed="false">
      <c r="A9" s="30" t="str">
        <f aca="false">Assumptions!A18</f>
        <v>Large  (Dave, Brittany, Sasha, Charlie)</v>
      </c>
      <c r="B9" s="31" t="n">
        <f aca="false">Assumptions!B18*Assumptions!H18</f>
        <v>7500</v>
      </c>
      <c r="C9" s="32" t="n">
        <f aca="false">Assumptions!C18*Assumptions!H18</f>
        <v>12.5</v>
      </c>
      <c r="D9" s="31" t="n">
        <f aca="false">B9*Assumptions!$B$4</f>
        <v>412.5</v>
      </c>
      <c r="E9" s="31" t="n">
        <f aca="false">Assumptions!$B$11*(B9*Assumptions!$B$5+C9*Assumptions!$B$6)</f>
        <v>0</v>
      </c>
      <c r="F9" s="31" t="n">
        <f aca="false">D9-E9</f>
        <v>412.5</v>
      </c>
      <c r="G9" s="33" t="n">
        <f aca="false">Assumptions!D18</f>
        <v>0</v>
      </c>
      <c r="H9" s="31" t="n">
        <f aca="false">0</f>
        <v>0</v>
      </c>
      <c r="I9" s="31" t="n">
        <f aca="false">Assumptions!E18+Assumptions!F18</f>
        <v>20</v>
      </c>
      <c r="J9" s="26" t="n">
        <f aca="false">F9+G9+H9-I9</f>
        <v>392.5</v>
      </c>
    </row>
    <row r="11" customFormat="false" ht="15" hidden="false" customHeight="true" outlineLevel="0" collapsed="false">
      <c r="A11" s="9" t="s">
        <v>103</v>
      </c>
    </row>
    <row r="12" customFormat="false" ht="34.5" hidden="false" customHeight="true" outlineLevel="0" collapsed="false">
      <c r="A12" s="23" t="s">
        <v>43</v>
      </c>
      <c r="B12" s="23" t="s">
        <v>94</v>
      </c>
      <c r="C12" s="23" t="s">
        <v>95</v>
      </c>
      <c r="D12" s="23" t="s">
        <v>96</v>
      </c>
      <c r="E12" s="23" t="s">
        <v>97</v>
      </c>
      <c r="F12" s="23" t="s">
        <v>98</v>
      </c>
      <c r="G12" s="23" t="s">
        <v>99</v>
      </c>
      <c r="H12" s="23" t="s">
        <v>100</v>
      </c>
      <c r="I12" s="23" t="s">
        <v>101</v>
      </c>
      <c r="J12" s="23" t="s">
        <v>102</v>
      </c>
    </row>
    <row r="13" customFormat="false" ht="15" hidden="false" customHeight="true" outlineLevel="0" collapsed="false">
      <c r="A13" s="30" t="str">
        <f aca="false">Assumptions!A15</f>
        <v>Micro  (Linda / brand-new)</v>
      </c>
      <c r="B13" s="31" t="n">
        <f aca="false">Assumptions!B15*Assumptions!I15</f>
        <v>950</v>
      </c>
      <c r="C13" s="32" t="n">
        <f aca="false">Assumptions!C15*Assumptions!I15</f>
        <v>7.6</v>
      </c>
      <c r="D13" s="31" t="n">
        <f aca="false">B13*Assumptions!$B$4</f>
        <v>52.25</v>
      </c>
      <c r="E13" s="31" t="n">
        <f aca="false">Assumptions!$B$11*(B13*Assumptions!$B$5+C13*Assumptions!$B$6)</f>
        <v>0</v>
      </c>
      <c r="F13" s="31" t="n">
        <f aca="false">D13-E13</f>
        <v>52.25</v>
      </c>
      <c r="G13" s="33" t="n">
        <f aca="false">Assumptions!D15</f>
        <v>39</v>
      </c>
      <c r="H13" s="31" t="n">
        <f aca="false">Assumptions!G15*Assumptions!$B$7</f>
        <v>0</v>
      </c>
      <c r="I13" s="31" t="n">
        <f aca="false">Assumptions!E15+Assumptions!F15</f>
        <v>14.5</v>
      </c>
      <c r="J13" s="26" t="n">
        <f aca="false">F13+G13+H13-I13</f>
        <v>76.75</v>
      </c>
    </row>
    <row r="14" customFormat="false" ht="15" hidden="false" customHeight="true" outlineLevel="0" collapsed="false">
      <c r="A14" s="30" t="str">
        <f aca="false">Assumptions!A16</f>
        <v>Small  (Marco, Joaquin, Tyrell-low)</v>
      </c>
      <c r="B14" s="31" t="n">
        <f aca="false">Assumptions!B16*Assumptions!I16</f>
        <v>2300</v>
      </c>
      <c r="C14" s="32" t="n">
        <f aca="false">Assumptions!C16*Assumptions!I16</f>
        <v>16.56</v>
      </c>
      <c r="D14" s="31" t="n">
        <f aca="false">B14*Assumptions!$B$4</f>
        <v>126.5</v>
      </c>
      <c r="E14" s="31" t="n">
        <f aca="false">Assumptions!$B$11*(B14*Assumptions!$B$5+C14*Assumptions!$B$6)</f>
        <v>0</v>
      </c>
      <c r="F14" s="31" t="n">
        <f aca="false">D14-E14</f>
        <v>126.5</v>
      </c>
      <c r="G14" s="33" t="n">
        <f aca="false">Assumptions!D16</f>
        <v>19.5</v>
      </c>
      <c r="H14" s="31" t="n">
        <f aca="false">Assumptions!G16*Assumptions!$B$7</f>
        <v>0</v>
      </c>
      <c r="I14" s="31" t="n">
        <f aca="false">Assumptions!E16+Assumptions!F16</f>
        <v>11</v>
      </c>
      <c r="J14" s="26" t="n">
        <f aca="false">F14+G14+H14-I14</f>
        <v>135</v>
      </c>
    </row>
    <row r="15" customFormat="false" ht="15" hidden="false" customHeight="true" outlineLevel="0" collapsed="false">
      <c r="A15" s="30" t="str">
        <f aca="false">Assumptions!A17</f>
        <v>Mid  (Rosa, Jenny, Diego)</v>
      </c>
      <c r="B15" s="31" t="n">
        <f aca="false">Assumptions!B17*Assumptions!I17</f>
        <v>9000</v>
      </c>
      <c r="C15" s="32" t="n">
        <f aca="false">Assumptions!C17*Assumptions!I17</f>
        <v>36</v>
      </c>
      <c r="D15" s="31" t="n">
        <f aca="false">B15*Assumptions!$B$4</f>
        <v>495</v>
      </c>
      <c r="E15" s="31" t="n">
        <f aca="false">Assumptions!$B$11*(B15*Assumptions!$B$5+C15*Assumptions!$B$6)</f>
        <v>0</v>
      </c>
      <c r="F15" s="31" t="n">
        <f aca="false">D15-E15</f>
        <v>495</v>
      </c>
      <c r="G15" s="33" t="n">
        <f aca="false">Assumptions!D17</f>
        <v>0</v>
      </c>
      <c r="H15" s="31" t="n">
        <f aca="false">Assumptions!G17*Assumptions!$B$7</f>
        <v>15</v>
      </c>
      <c r="I15" s="31" t="n">
        <f aca="false">Assumptions!E17+Assumptions!F17</f>
        <v>14</v>
      </c>
      <c r="J15" s="26" t="n">
        <f aca="false">F15+G15+H15-I15</f>
        <v>496</v>
      </c>
    </row>
    <row r="16" customFormat="false" ht="15" hidden="false" customHeight="true" outlineLevel="0" collapsed="false">
      <c r="A16" s="30" t="str">
        <f aca="false">Assumptions!A18</f>
        <v>Large  (Dave, Brittany, Sasha, Charlie)</v>
      </c>
      <c r="B16" s="31" t="n">
        <f aca="false">Assumptions!B18*Assumptions!I18</f>
        <v>24000</v>
      </c>
      <c r="C16" s="32" t="n">
        <f aca="false">Assumptions!C18*Assumptions!I18</f>
        <v>40</v>
      </c>
      <c r="D16" s="31" t="n">
        <f aca="false">B16*Assumptions!$B$4</f>
        <v>1320</v>
      </c>
      <c r="E16" s="31" t="n">
        <f aca="false">Assumptions!$B$11*(B16*Assumptions!$B$5+C16*Assumptions!$B$6)</f>
        <v>0</v>
      </c>
      <c r="F16" s="31" t="n">
        <f aca="false">D16-E16</f>
        <v>1320</v>
      </c>
      <c r="G16" s="33" t="n">
        <f aca="false">Assumptions!D18</f>
        <v>0</v>
      </c>
      <c r="H16" s="31" t="n">
        <f aca="false">Assumptions!G18*Assumptions!$B$7</f>
        <v>60</v>
      </c>
      <c r="I16" s="31" t="n">
        <f aca="false">Assumptions!E18+Assumptions!F18</f>
        <v>20</v>
      </c>
      <c r="J16" s="26" t="n">
        <f aca="false">F16+G16+H16-I16</f>
        <v>1360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"/>
    <col collapsed="false" customWidth="true" hidden="false" outlineLevel="0" max="6" min="3" style="1" width="9"/>
    <col collapsed="false" customWidth="true" hidden="false" outlineLevel="0" max="12" min="7" style="1" width="15"/>
  </cols>
  <sheetData>
    <row r="1" customFormat="false" ht="17.25" hidden="false" customHeight="true" outlineLevel="0" collapsed="false">
      <c r="A1" s="2" t="s">
        <v>104</v>
      </c>
    </row>
    <row r="2" customFormat="false" ht="15" hidden="false" customHeight="true" outlineLevel="0" collapsed="false">
      <c r="A2" s="3" t="s">
        <v>105</v>
      </c>
    </row>
    <row r="4" customFormat="false" ht="23.25" hidden="false" customHeight="true" outlineLevel="0" collapsed="false">
      <c r="A4" s="4" t="s">
        <v>106</v>
      </c>
      <c r="B4" s="4" t="s">
        <v>2</v>
      </c>
      <c r="C4" s="4" t="s">
        <v>107</v>
      </c>
      <c r="D4" s="4" t="s">
        <v>108</v>
      </c>
      <c r="E4" s="4" t="s">
        <v>109</v>
      </c>
      <c r="F4" s="4" t="s">
        <v>110</v>
      </c>
      <c r="G4" s="4" t="s">
        <v>111</v>
      </c>
      <c r="H4" s="4" t="s">
        <v>112</v>
      </c>
      <c r="I4" s="4" t="s">
        <v>113</v>
      </c>
      <c r="J4" s="4" t="s">
        <v>114</v>
      </c>
      <c r="K4" s="4" t="s">
        <v>115</v>
      </c>
      <c r="L4" s="4" t="s">
        <v>116</v>
      </c>
    </row>
    <row r="5" customFormat="false" ht="15" hidden="false" customHeight="true" outlineLevel="0" collapsed="false">
      <c r="A5" s="34" t="s">
        <v>117</v>
      </c>
      <c r="B5" s="35" t="s">
        <v>6</v>
      </c>
      <c r="C5" s="20" t="n">
        <v>15</v>
      </c>
      <c r="D5" s="20" t="n">
        <v>8</v>
      </c>
      <c r="E5" s="20" t="n">
        <v>2</v>
      </c>
      <c r="F5" s="20" t="n">
        <v>0</v>
      </c>
      <c r="G5" s="31" t="n">
        <f aca="false">C5*'Unit Economics'!$J$6+D5*'Unit Economics'!$J$7+E5*'Unit Economics'!$J$8+F5*'Unit Economics'!$J$9</f>
        <v>2745</v>
      </c>
      <c r="H5" s="33" t="n">
        <f aca="false">'Operating Costs'!$B$11</f>
        <v>263.5</v>
      </c>
      <c r="I5" s="31" t="n">
        <f aca="false">G5-H5</f>
        <v>2481.5</v>
      </c>
      <c r="J5" s="36" t="n">
        <f aca="false">I5*12</f>
        <v>29778</v>
      </c>
      <c r="K5" s="31" t="n">
        <f aca="false">(C5+D5+E5+F5)*Assumptions!$B$10*(Assumptions!$B$8-Assumptions!$B$9)</f>
        <v>442.5</v>
      </c>
      <c r="L5" s="37" t="n">
        <f aca="false">J5+K5</f>
        <v>30220.5</v>
      </c>
    </row>
    <row r="6" customFormat="false" ht="15" hidden="false" customHeight="true" outlineLevel="0" collapsed="false">
      <c r="A6" s="34" t="s">
        <v>117</v>
      </c>
      <c r="B6" s="35" t="s">
        <v>7</v>
      </c>
      <c r="C6" s="20" t="n">
        <v>25</v>
      </c>
      <c r="D6" s="20" t="n">
        <v>15</v>
      </c>
      <c r="E6" s="20" t="n">
        <v>4</v>
      </c>
      <c r="F6" s="20" t="n">
        <v>1</v>
      </c>
      <c r="G6" s="31" t="n">
        <f aca="false">C6*'Unit Economics'!$J$6+D6*'Unit Economics'!$J$7+E6*'Unit Economics'!$J$8+F6*'Unit Economics'!$J$9</f>
        <v>5387.125</v>
      </c>
      <c r="H6" s="33" t="n">
        <f aca="false">'Operating Costs'!$B$11</f>
        <v>263.5</v>
      </c>
      <c r="I6" s="31" t="n">
        <f aca="false">G6-H6</f>
        <v>5123.625</v>
      </c>
      <c r="J6" s="36" t="n">
        <f aca="false">I6*12</f>
        <v>61483.5</v>
      </c>
      <c r="K6" s="31" t="n">
        <f aca="false">(C6+D6+E6+F6)*Assumptions!$B$10*(Assumptions!$B$8-Assumptions!$B$9)</f>
        <v>796.5</v>
      </c>
      <c r="L6" s="37" t="n">
        <f aca="false">J6+K6</f>
        <v>62280</v>
      </c>
    </row>
    <row r="7" customFormat="false" ht="15" hidden="false" customHeight="true" outlineLevel="0" collapsed="false">
      <c r="A7" s="34" t="s">
        <v>117</v>
      </c>
      <c r="B7" s="35" t="s">
        <v>8</v>
      </c>
      <c r="C7" s="20" t="n">
        <v>40</v>
      </c>
      <c r="D7" s="20" t="n">
        <v>25</v>
      </c>
      <c r="E7" s="20" t="n">
        <v>8</v>
      </c>
      <c r="F7" s="20" t="n">
        <v>2</v>
      </c>
      <c r="G7" s="31" t="n">
        <f aca="false">C7*'Unit Economics'!$J$6+D7*'Unit Economics'!$J$7+E7*'Unit Economics'!$J$8+F7*'Unit Economics'!$J$9</f>
        <v>9407.375</v>
      </c>
      <c r="H7" s="33" t="n">
        <f aca="false">'Operating Costs'!$B$11</f>
        <v>263.5</v>
      </c>
      <c r="I7" s="31" t="n">
        <f aca="false">G7-H7</f>
        <v>9143.875</v>
      </c>
      <c r="J7" s="36" t="n">
        <f aca="false">I7*12</f>
        <v>109726.5</v>
      </c>
      <c r="K7" s="31" t="n">
        <f aca="false">(C7+D7+E7+F7)*Assumptions!$B$10*(Assumptions!$B$8-Assumptions!$B$9)</f>
        <v>1327.5</v>
      </c>
      <c r="L7" s="37" t="n">
        <f aca="false">J7+K7</f>
        <v>111054</v>
      </c>
    </row>
    <row r="8" customFormat="false" ht="15" hidden="false" customHeight="true" outlineLevel="0" collapsed="false">
      <c r="A8" s="25" t="s">
        <v>118</v>
      </c>
      <c r="B8" s="38" t="s">
        <v>6</v>
      </c>
      <c r="C8" s="20" t="n">
        <v>15</v>
      </c>
      <c r="D8" s="20" t="n">
        <v>12</v>
      </c>
      <c r="E8" s="20" t="n">
        <v>6</v>
      </c>
      <c r="F8" s="20" t="n">
        <v>3</v>
      </c>
      <c r="G8" s="31" t="n">
        <f aca="false">C8*'Unit Economics'!$J$13+D8*'Unit Economics'!$J$14+E8*'Unit Economics'!$J$15+F8*'Unit Economics'!$J$16</f>
        <v>9827.25</v>
      </c>
      <c r="H8" s="33" t="n">
        <f aca="false">'Operating Costs'!$B$11</f>
        <v>263.5</v>
      </c>
      <c r="I8" s="31" t="n">
        <f aca="false">G8-H8</f>
        <v>9563.75</v>
      </c>
      <c r="J8" s="36" t="n">
        <f aca="false">I8*12</f>
        <v>114765</v>
      </c>
      <c r="K8" s="31" t="n">
        <f aca="false">(C8+D8+E8+F8)*Assumptions!$B$10*(Assumptions!$B$8-Assumptions!$B$9)</f>
        <v>637.2</v>
      </c>
      <c r="L8" s="26" t="n">
        <f aca="false">J8+K8</f>
        <v>115402.2</v>
      </c>
    </row>
    <row r="9" customFormat="false" ht="15" hidden="false" customHeight="true" outlineLevel="0" collapsed="false">
      <c r="A9" s="25" t="s">
        <v>118</v>
      </c>
      <c r="B9" s="38" t="s">
        <v>7</v>
      </c>
      <c r="C9" s="20" t="n">
        <v>25</v>
      </c>
      <c r="D9" s="20" t="n">
        <v>22</v>
      </c>
      <c r="E9" s="20" t="n">
        <v>14</v>
      </c>
      <c r="F9" s="20" t="n">
        <v>8</v>
      </c>
      <c r="G9" s="31" t="n">
        <f aca="false">C9*'Unit Economics'!$J$13+D9*'Unit Economics'!$J$14+E9*'Unit Economics'!$J$15+F9*'Unit Economics'!$J$16</f>
        <v>22712.75</v>
      </c>
      <c r="H9" s="33" t="n">
        <f aca="false">'Operating Costs'!$B$11</f>
        <v>263.5</v>
      </c>
      <c r="I9" s="31" t="n">
        <f aca="false">G9-H9</f>
        <v>22449.25</v>
      </c>
      <c r="J9" s="36" t="n">
        <f aca="false">I9*12</f>
        <v>269391</v>
      </c>
      <c r="K9" s="31" t="n">
        <f aca="false">(C9+D9+E9+F9)*Assumptions!$B$10*(Assumptions!$B$8-Assumptions!$B$9)</f>
        <v>1221.3</v>
      </c>
      <c r="L9" s="26" t="n">
        <f aca="false">J9+K9</f>
        <v>270612.3</v>
      </c>
    </row>
    <row r="10" customFormat="false" ht="15" hidden="false" customHeight="true" outlineLevel="0" collapsed="false">
      <c r="A10" s="25" t="s">
        <v>118</v>
      </c>
      <c r="B10" s="38" t="s">
        <v>8</v>
      </c>
      <c r="C10" s="20" t="n">
        <v>40</v>
      </c>
      <c r="D10" s="20" t="n">
        <v>35</v>
      </c>
      <c r="E10" s="20" t="n">
        <v>25</v>
      </c>
      <c r="F10" s="20" t="n">
        <v>16</v>
      </c>
      <c r="G10" s="31" t="n">
        <f aca="false">C10*'Unit Economics'!$J$13+D10*'Unit Economics'!$J$14+E10*'Unit Economics'!$J$15+F10*'Unit Economics'!$J$16</f>
        <v>41955</v>
      </c>
      <c r="H10" s="33" t="n">
        <f aca="false">'Operating Costs'!$B$11</f>
        <v>263.5</v>
      </c>
      <c r="I10" s="31" t="n">
        <f aca="false">G10-H10</f>
        <v>41691.5</v>
      </c>
      <c r="J10" s="36" t="n">
        <f aca="false">I10*12</f>
        <v>500298</v>
      </c>
      <c r="K10" s="31" t="n">
        <f aca="false">(C10+D10+E10+F10)*Assumptions!$B$10*(Assumptions!$B$8-Assumptions!$B$9)</f>
        <v>2053.2</v>
      </c>
      <c r="L10" s="26" t="n">
        <f aca="false">J10+K10</f>
        <v>502351.2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2026-06-25T00:30:34Z</dcterms:created>
  <dc:creator>openpyxl</dc:creator>
  <dc:description/>
  <dc:language>en-US</dc:language>
  <cp:lastModifiedBy/>
  <dcterms:modified xsi:type="dcterms:W3CDTF">2026-06-25T00:30:57Z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